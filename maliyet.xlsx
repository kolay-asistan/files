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1438\Desktop\"/>
    </mc:Choice>
  </mc:AlternateContent>
  <xr:revisionPtr revIDLastSave="0" documentId="8_{D29B9164-E1A0-4204-8585-F8F2C358B351}" xr6:coauthVersionLast="47" xr6:coauthVersionMax="47" xr10:uidLastSave="{00000000-0000-0000-0000-000000000000}"/>
  <bookViews>
    <workbookView xWindow="-120" yWindow="-120" windowWidth="29040" windowHeight="15720" xr2:uid="{E506586B-DC95-4AF3-B051-FC798D959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F17" i="1" s="1"/>
  <c r="F4" i="1"/>
  <c r="F5" i="1"/>
  <c r="F6" i="1"/>
  <c r="F7" i="1"/>
  <c r="F8" i="1"/>
  <c r="F9" i="1"/>
  <c r="F10" i="1"/>
  <c r="F11" i="1"/>
  <c r="F12" i="1"/>
  <c r="F13" i="1"/>
  <c r="F14" i="1"/>
  <c r="F3" i="1"/>
</calcChain>
</file>

<file path=xl/sharedStrings.xml><?xml version="1.0" encoding="utf-8"?>
<sst xmlns="http://schemas.openxmlformats.org/spreadsheetml/2006/main" count="64" uniqueCount="53">
  <si>
    <t>Hizmet / Araç</t>
  </si>
  <si>
    <t>Kullanım Amacı</t>
  </si>
  <si>
    <t>Tahmini Aylık Maliyet</t>
  </si>
  <si>
    <t>Heroku (PaaS – Backend uygulama)</t>
  </si>
  <si>
    <t>Full-stack servisin barındırılması (Production)</t>
  </si>
  <si>
    <t>Stackhero MySQL (DB)</t>
  </si>
  <si>
    <t>Veritabanı (yüksek performans / ölçek)</t>
  </si>
  <si>
    <t>Vercel (Frontend / CDN)</t>
  </si>
  <si>
    <t>Frontend dağıtımı, CDN, trafik</t>
  </si>
  <si>
    <t>Redis / Cache (Managed)</t>
  </si>
  <si>
    <t>Cache – performans iyileştirme</t>
  </si>
  <si>
    <t>Güvenlik &amp; CDN Ek Servisler</t>
  </si>
  <si>
    <t>WAF, SSL, DDoS koruma</t>
  </si>
  <si>
    <t>Yedekleme &amp; Felaket Kurtarma</t>
  </si>
  <si>
    <t>Oto snapshot, cross-region replikasyon</t>
  </si>
  <si>
    <t>Trafik ve Bant Genişliği (Cloud)</t>
  </si>
  <si>
    <t>CDN / Data transfer (ör. 5–10 TB/ay)</t>
  </si>
  <si>
    <t>GitLab Premium (CI/CD &amp; Repo)</t>
  </si>
  <si>
    <t>Kaynak kod, CI/CD</t>
  </si>
  <si>
    <t>Sentry (Monitoring)</t>
  </si>
  <si>
    <t>Hata izleme, APM, logging</t>
  </si>
  <si>
    <t>Test &amp; QA Araçları (Üçüncü parti)</t>
  </si>
  <si>
    <t>Load testi, performans, otomasyon</t>
  </si>
  <si>
    <t>Siber Güvenlik / Pen Test</t>
  </si>
  <si>
    <t>Yıllık sızma testi + hizmetler</t>
  </si>
  <si>
    <t>SSL &amp; Auth Servisleri</t>
  </si>
  <si>
    <t>Özel SSL / Auth çözümü</t>
  </si>
  <si>
    <t>Abonelik Türü</t>
  </si>
  <si>
    <t>Aylık</t>
  </si>
  <si>
    <t>Kullanıcı ve Yıllık</t>
  </si>
  <si>
    <t>Yıllık</t>
  </si>
  <si>
    <t>Katsayı</t>
  </si>
  <si>
    <t>Toplam</t>
  </si>
  <si>
    <t>Kategori</t>
  </si>
  <si>
    <t>$470</t>
  </si>
  <si>
    <t>$42,5</t>
  </si>
  <si>
    <t>Aylık Maliyet</t>
  </si>
  <si>
    <t>Sunucu + Altyapı</t>
  </si>
  <si>
    <t>Test + QA + Siber Güvenlik</t>
  </si>
  <si>
    <t>Developer Toolchain</t>
  </si>
  <si>
    <t>TOPLAM AYLIK MALİYET</t>
  </si>
  <si>
    <t>≈ $555</t>
  </si>
  <si>
    <t>Minimum – Maksimum (Gerçekçi Operasyon Aralığı)</t>
  </si>
  <si>
    <t>Senaryo</t>
  </si>
  <si>
    <t>Aylık Toplam</t>
  </si>
  <si>
    <t>Minimum (mevcut tablo)</t>
  </si>
  <si>
    <t>Maksimum (1,5× büyüme)</t>
  </si>
  <si>
    <t>≈ $830</t>
  </si>
  <si>
    <t>Bu mimari ile 5.000 client için aylık altyapı ve kalite maliyeti ~550–830 USD aralığındadır.</t>
  </si>
  <si>
    <t>Aylık Toplam Maliyet Tablosu</t>
  </si>
  <si>
    <t xml:space="preserve">TÜM HİZMETLER </t>
  </si>
  <si>
    <t>1 Yıl</t>
  </si>
  <si>
    <t>2 Yıl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</si>
</sst>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$-45C]#,##0.00"/>
  </numFmts>
  <fonts count="3" x14ac:knownFonts="1">
    <font>
      <sz val="11"/>
      <color theme="1"/>
      <name val="Calibri"/>
      <family val="2"/>
      <charset val="16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0" fontId="2" fillId="0" borderId="0" xfId="0" applyFont="1"/>
    <xf numFmtId="171" fontId="2" fillId="0" borderId="0" xfId="0" applyNumberFormat="1" applyFont="1"/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71" formatCode="[$$-45C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[$$-45C]#,##0.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D94AA-8E8C-4CEB-B22D-E5BBDAF4036B}" name="Table1" displayName="Table1" ref="A2:F14" totalsRowShown="0">
  <autoFilter ref="A2:F14" xr:uid="{81DD94AA-8E8C-4CEB-B22D-E5BBDAF4036B}"/>
  <tableColumns count="6">
    <tableColumn id="1" xr3:uid="{DBAF6529-6283-421A-A9EC-F97F580608ED}" name="Hizmet / Araç"/>
    <tableColumn id="2" xr3:uid="{A57FFE8E-1D81-42D6-966C-FDEB7BFF182A}" name="Kullanım Amacı"/>
    <tableColumn id="3" xr3:uid="{AAC70DDA-4452-49EB-9268-9361DEC64E86}" name="Tahmini Aylık Maliyet" dataDxfId="5"/>
    <tableColumn id="4" xr3:uid="{BD2406D0-695E-47A3-819A-AF63A4BAA159}" name="Abonelik Türü" dataDxfId="4"/>
    <tableColumn id="5" xr3:uid="{1A87253B-BA6C-476F-8FAA-9F9C8F6574C0}" name="Katsayı" dataDxfId="3"/>
    <tableColumn id="6" xr3:uid="{51418AD9-487C-4129-8452-E700BF1902BE}" name="Toplam" dataDxfId="2">
      <calculatedColumnFormula>C3*E3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16496E-5944-424A-8535-BED1ED39B552}" name="Table5" displayName="Table5" ref="A22:B26" totalsRowShown="0">
  <autoFilter ref="A22:B26" xr:uid="{8716496E-5944-424A-8535-BED1ED39B552}"/>
  <tableColumns count="2">
    <tableColumn id="1" xr3:uid="{566271C4-6E2E-4C6E-8BC7-03558D314C6F}" name="Kategori"/>
    <tableColumn id="2" xr3:uid="{5937B77E-92C4-45A7-9305-09E328BBE610}" name="Aylık Maliyet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9A5845-8228-4FE1-A6DC-47A98015A046}" name="Table6" displayName="Table6" ref="A32:B34" totalsRowShown="0">
  <autoFilter ref="A32:B34" xr:uid="{989A5845-8228-4FE1-A6DC-47A98015A046}"/>
  <tableColumns count="2">
    <tableColumn id="1" xr3:uid="{16BAFE64-D4E5-47DE-8728-F4C43018A13C}" name="Senaryo"/>
    <tableColumn id="2" xr3:uid="{D0805434-3993-4330-A57F-374EC8F799D6}" name="Aylık Topla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E2B1-86D7-4D66-A439-2FDEC1AE18B5}">
  <dimension ref="A1:F36"/>
  <sheetViews>
    <sheetView tabSelected="1" topLeftCell="A7" workbookViewId="0">
      <selection sqref="A1:F36"/>
    </sheetView>
  </sheetViews>
  <sheetFormatPr defaultRowHeight="15" x14ac:dyDescent="0.25"/>
  <cols>
    <col min="1" max="1" width="34.7109375" customWidth="1"/>
    <col min="2" max="2" width="42.42578125" customWidth="1"/>
    <col min="3" max="3" width="22.140625" customWidth="1"/>
    <col min="4" max="4" width="18.85546875" customWidth="1"/>
    <col min="5" max="5" width="9.28515625" customWidth="1"/>
    <col min="6" max="6" width="15.85546875" bestFit="1" customWidth="1"/>
  </cols>
  <sheetData>
    <row r="1" spans="1:6" ht="46.5" customHeight="1" x14ac:dyDescent="0.25">
      <c r="A1" s="4" t="s">
        <v>50</v>
      </c>
      <c r="B1" s="4"/>
      <c r="C1" s="4"/>
      <c r="D1" s="4"/>
      <c r="E1" s="4"/>
      <c r="F1" s="4"/>
    </row>
    <row r="2" spans="1:6" x14ac:dyDescent="0.25">
      <c r="A2" t="s">
        <v>0</v>
      </c>
      <c r="B2" t="s">
        <v>1</v>
      </c>
      <c r="C2" t="s">
        <v>2</v>
      </c>
      <c r="D2" t="s">
        <v>27</v>
      </c>
      <c r="E2" t="s">
        <v>31</v>
      </c>
      <c r="F2" t="s">
        <v>32</v>
      </c>
    </row>
    <row r="3" spans="1:6" x14ac:dyDescent="0.25">
      <c r="A3" t="s">
        <v>3</v>
      </c>
      <c r="B3" t="s">
        <v>4</v>
      </c>
      <c r="C3" s="2">
        <v>150</v>
      </c>
      <c r="D3" s="1" t="s">
        <v>28</v>
      </c>
      <c r="E3" s="1">
        <v>12</v>
      </c>
      <c r="F3" s="2">
        <f>C3*E3</f>
        <v>1800</v>
      </c>
    </row>
    <row r="4" spans="1:6" x14ac:dyDescent="0.25">
      <c r="A4" t="s">
        <v>5</v>
      </c>
      <c r="B4" t="s">
        <v>6</v>
      </c>
      <c r="C4" s="2">
        <v>80</v>
      </c>
      <c r="D4" s="1" t="s">
        <v>28</v>
      </c>
      <c r="E4" s="1">
        <v>12</v>
      </c>
      <c r="F4" s="2">
        <f t="shared" ref="F4:F14" si="0">C4*E4</f>
        <v>960</v>
      </c>
    </row>
    <row r="5" spans="1:6" x14ac:dyDescent="0.25">
      <c r="A5" t="s">
        <v>7</v>
      </c>
      <c r="B5" t="s">
        <v>8</v>
      </c>
      <c r="C5" s="2">
        <v>50</v>
      </c>
      <c r="D5" s="1" t="s">
        <v>28</v>
      </c>
      <c r="E5" s="1">
        <v>12</v>
      </c>
      <c r="F5" s="2">
        <f t="shared" si="0"/>
        <v>600</v>
      </c>
    </row>
    <row r="6" spans="1:6" x14ac:dyDescent="0.25">
      <c r="A6" t="s">
        <v>9</v>
      </c>
      <c r="B6" t="s">
        <v>10</v>
      </c>
      <c r="C6" s="2">
        <v>50</v>
      </c>
      <c r="D6" s="1" t="s">
        <v>28</v>
      </c>
      <c r="E6" s="1">
        <v>12</v>
      </c>
      <c r="F6" s="2">
        <f t="shared" si="0"/>
        <v>600</v>
      </c>
    </row>
    <row r="7" spans="1:6" x14ac:dyDescent="0.25">
      <c r="A7" t="s">
        <v>11</v>
      </c>
      <c r="B7" t="s">
        <v>12</v>
      </c>
      <c r="C7" s="2">
        <v>40</v>
      </c>
      <c r="D7" s="1" t="s">
        <v>28</v>
      </c>
      <c r="E7" s="1">
        <v>12</v>
      </c>
      <c r="F7" s="2">
        <f t="shared" si="0"/>
        <v>480</v>
      </c>
    </row>
    <row r="8" spans="1:6" x14ac:dyDescent="0.25">
      <c r="A8" t="s">
        <v>13</v>
      </c>
      <c r="B8" t="s">
        <v>14</v>
      </c>
      <c r="C8" s="2">
        <v>50</v>
      </c>
      <c r="D8" s="1" t="s">
        <v>28</v>
      </c>
      <c r="E8" s="1">
        <v>12</v>
      </c>
      <c r="F8" s="2">
        <f t="shared" si="0"/>
        <v>600</v>
      </c>
    </row>
    <row r="9" spans="1:6" x14ac:dyDescent="0.25">
      <c r="A9" t="s">
        <v>15</v>
      </c>
      <c r="B9" t="s">
        <v>16</v>
      </c>
      <c r="C9" s="2">
        <v>50</v>
      </c>
      <c r="D9" s="1" t="s">
        <v>28</v>
      </c>
      <c r="E9" s="1">
        <v>12</v>
      </c>
      <c r="F9" s="2">
        <f t="shared" si="0"/>
        <v>600</v>
      </c>
    </row>
    <row r="10" spans="1:6" x14ac:dyDescent="0.25">
      <c r="A10" t="s">
        <v>17</v>
      </c>
      <c r="B10" t="s">
        <v>18</v>
      </c>
      <c r="C10" s="2">
        <v>30</v>
      </c>
      <c r="D10" s="1" t="s">
        <v>29</v>
      </c>
      <c r="E10" s="1">
        <v>1</v>
      </c>
      <c r="F10" s="2">
        <f t="shared" si="0"/>
        <v>30</v>
      </c>
    </row>
    <row r="11" spans="1:6" x14ac:dyDescent="0.25">
      <c r="A11" t="s">
        <v>19</v>
      </c>
      <c r="B11" t="s">
        <v>20</v>
      </c>
      <c r="C11" s="2">
        <v>40</v>
      </c>
      <c r="D11" s="1" t="s">
        <v>28</v>
      </c>
      <c r="E11" s="1">
        <v>12</v>
      </c>
      <c r="F11" s="2">
        <f t="shared" si="0"/>
        <v>480</v>
      </c>
    </row>
    <row r="12" spans="1:6" x14ac:dyDescent="0.25">
      <c r="A12" t="s">
        <v>21</v>
      </c>
      <c r="B12" t="s">
        <v>22</v>
      </c>
      <c r="C12" s="2">
        <v>60</v>
      </c>
      <c r="D12" s="1" t="s">
        <v>30</v>
      </c>
      <c r="E12" s="1">
        <v>1</v>
      </c>
      <c r="F12" s="2">
        <f t="shared" si="0"/>
        <v>60</v>
      </c>
    </row>
    <row r="13" spans="1:6" x14ac:dyDescent="0.25">
      <c r="A13" t="s">
        <v>23</v>
      </c>
      <c r="B13" t="s">
        <v>24</v>
      </c>
      <c r="C13" s="2">
        <v>300</v>
      </c>
      <c r="D13" s="1" t="s">
        <v>30</v>
      </c>
      <c r="E13" s="1">
        <v>1</v>
      </c>
      <c r="F13" s="2">
        <f t="shared" si="0"/>
        <v>300</v>
      </c>
    </row>
    <row r="14" spans="1:6" x14ac:dyDescent="0.25">
      <c r="A14" t="s">
        <v>25</v>
      </c>
      <c r="B14" t="s">
        <v>26</v>
      </c>
      <c r="C14" s="2">
        <v>150</v>
      </c>
      <c r="D14" s="1" t="s">
        <v>30</v>
      </c>
      <c r="E14" s="1">
        <v>1</v>
      </c>
      <c r="F14" s="2">
        <f t="shared" si="0"/>
        <v>150</v>
      </c>
    </row>
    <row r="16" spans="1:6" ht="18.75" x14ac:dyDescent="0.3">
      <c r="E16" s="6" t="s">
        <v>51</v>
      </c>
      <c r="F16" s="7">
        <f>SUM(Table1[Toplam])</f>
        <v>6660</v>
      </c>
    </row>
    <row r="17" spans="1:6" ht="18.75" x14ac:dyDescent="0.3">
      <c r="E17" s="6" t="s">
        <v>52</v>
      </c>
      <c r="F17" s="7">
        <f>F16*2</f>
        <v>13320</v>
      </c>
    </row>
    <row r="20" spans="1:6" ht="21" x14ac:dyDescent="0.25">
      <c r="A20" s="4" t="s">
        <v>49</v>
      </c>
      <c r="B20" s="4"/>
    </row>
    <row r="22" spans="1:6" x14ac:dyDescent="0.25">
      <c r="A22" t="s">
        <v>33</v>
      </c>
      <c r="B22" s="5" t="s">
        <v>36</v>
      </c>
    </row>
    <row r="23" spans="1:6" x14ac:dyDescent="0.25">
      <c r="A23" t="s">
        <v>37</v>
      </c>
      <c r="B23" s="5" t="s">
        <v>34</v>
      </c>
    </row>
    <row r="24" spans="1:6" x14ac:dyDescent="0.25">
      <c r="A24" t="s">
        <v>38</v>
      </c>
      <c r="B24" s="5" t="s">
        <v>35</v>
      </c>
    </row>
    <row r="25" spans="1:6" x14ac:dyDescent="0.25">
      <c r="A25" t="s">
        <v>39</v>
      </c>
      <c r="B25" s="5" t="s">
        <v>35</v>
      </c>
    </row>
    <row r="26" spans="1:6" x14ac:dyDescent="0.25">
      <c r="A26" t="s">
        <v>40</v>
      </c>
      <c r="B26" s="5" t="s">
        <v>41</v>
      </c>
    </row>
    <row r="31" spans="1:6" ht="21" x14ac:dyDescent="0.25">
      <c r="A31" s="4" t="s">
        <v>42</v>
      </c>
      <c r="B31" s="4"/>
    </row>
    <row r="32" spans="1:6" x14ac:dyDescent="0.25">
      <c r="A32" t="s">
        <v>43</v>
      </c>
      <c r="B32" s="1" t="s">
        <v>44</v>
      </c>
    </row>
    <row r="33" spans="1:2" x14ac:dyDescent="0.25">
      <c r="A33" t="s">
        <v>45</v>
      </c>
      <c r="B33" s="5" t="s">
        <v>41</v>
      </c>
    </row>
    <row r="34" spans="1:2" x14ac:dyDescent="0.25">
      <c r="A34" t="s">
        <v>46</v>
      </c>
      <c r="B34" s="5" t="s">
        <v>47</v>
      </c>
    </row>
    <row r="36" spans="1:2" ht="32.25" customHeight="1" x14ac:dyDescent="0.25">
      <c r="A36" s="3" t="s">
        <v>48</v>
      </c>
      <c r="B36" s="3"/>
    </row>
  </sheetData>
  <mergeCells count="4">
    <mergeCell ref="A31:B31"/>
    <mergeCell ref="A36:B36"/>
    <mergeCell ref="A20:B20"/>
    <mergeCell ref="A1:F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NTMyOWU4Mi1mOWJkLTQxNjYtOGRiOS1jOTMyZDY3NWRmMWMiIG9yaWdpbj0idXNlclNlbGVjdGVkIj48ZWxlbWVudCB1aWQ9IjJhMmZiMTAxLWQ1ZWYtNDdkYi04YjI4LTZlNzVlNDgyNGFhNyIgdmFsdWU9IiIgeG1sbnM9Imh0dHA6Ly93d3cuYm9sZG9uamFtZXMuY29tLzIwMDgvMDEvc2llL2ludGVybmFsL2xhYmVsIiAvPjxlbGVtZW50IHVpZD0iZDdkOWVlZmMtMzBlMC00Njc5LTk4NzAtN2FiMWFkYzYyNzJjIiB2YWx1ZT0iIiB4bWxucz0iaHR0cDovL3d3dy5ib2xkb25qYW1lcy5jb20vMjAwOC8wMS9zaWUvaW50ZXJuYWwvbGFiZWwiIC8+PC9zaXNsPjxVc2VyTmFtZT5FWElNQkFOS1xheTE0Mzg8L1VzZXJOYW1lPjxEYXRlVGltZT4xMi4wMS4yMDI2IDA3OjAwOjI4PC9EYXRlVGltZT48TGFiZWxTdHJpbmc+VGFzbmlmIEQmI3gxMzE7JiN4MTVGOyYjeDEzMTsvS1YgSSYjeEU3O2VybWV6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e5329e82-f9bd-4166-8db9-c932d675df1c" origin="userSelected">
  <element uid="2a2fb101-d5ef-47db-8b28-6e75e4824aa7" value=""/>
  <element uid="d7d9eefc-30e0-4679-9870-7ab1adc6272c" value=""/>
</sisl>
</file>

<file path=customXml/itemProps1.xml><?xml version="1.0" encoding="utf-8"?>
<ds:datastoreItem xmlns:ds="http://schemas.openxmlformats.org/officeDocument/2006/customXml" ds:itemID="{F90078B1-2523-43D8-91EA-072E8892A68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6A034735-B636-44C2-88AE-BF3136A93CB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YAĞBASAN</dc:creator>
  <cp:keywords>Tasnif Disi/KV Icermez</cp:keywords>
  <cp:lastModifiedBy>Ahmet YAĞBASAN</cp:lastModifiedBy>
  <dcterms:created xsi:type="dcterms:W3CDTF">2026-01-12T06:19:26Z</dcterms:created>
  <dcterms:modified xsi:type="dcterms:W3CDTF">2026-01-12T07:00:50Z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00391b61-c402-4a6e-a464-5232bce799bb</vt:lpwstr>
  </property>
  <property fmtid="{D5CDD505-2E9C-101B-9397-08002B2CF9AE}" pid="3" name="bjSaver">
    <vt:lpwstr>gvhpI8l0peFsZgxS+84R4460J3mblZBk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policy="e5329e82-f9bd-4166-8db9-c932d675df1c" origin="userSelected" xmlns="http://www.boldonj</vt:lpwstr>
  </property>
  <property fmtid="{D5CDD505-2E9C-101B-9397-08002B2CF9AE}" pid="5" name="bjDocumentLabelXML-0">
    <vt:lpwstr>ames.com/2008/01/sie/internal/label"&gt;&lt;element uid="2a2fb101-d5ef-47db-8b28-6e75e4824aa7" value="" /&gt;&lt;element uid="d7d9eefc-30e0-4679-9870-7ab1adc6272c" value="" /&gt;&lt;/sisl&gt;</vt:lpwstr>
  </property>
  <property fmtid="{D5CDD505-2E9C-101B-9397-08002B2CF9AE}" pid="6" name="bjDocumentSecurityLabel">
    <vt:lpwstr>Tasnif Dışı/KV Içermez</vt:lpwstr>
  </property>
  <property fmtid="{D5CDD505-2E9C-101B-9397-08002B2CF9AE}" pid="7" name="bjClsUserRVM">
    <vt:lpwstr>[]</vt:lpwstr>
  </property>
  <property fmtid="{D5CDD505-2E9C-101B-9397-08002B2CF9AE}" pid="8" name="bjLabelHistoryID">
    <vt:lpwstr>{F90078B1-2523-43D8-91EA-072E8892A680}</vt:lpwstr>
  </property>
</Properties>
</file>